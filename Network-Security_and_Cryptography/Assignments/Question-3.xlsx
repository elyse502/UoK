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Question 3" sheetId="3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<sst xmlns="http://schemas.openxmlformats.org/spreadsheetml/2006/main" count="210" uniqueCount="84">
  <si>
    <t>QUESTION 3</t>
  </si>
  <si>
    <t>GIVEN MATRIX</t>
  </si>
  <si>
    <t>K=</t>
  </si>
  <si>
    <t>MOD</t>
  </si>
  <si>
    <t>DET(X)=</t>
  </si>
  <si>
    <t>K^−1 = D^-1 * K^t</t>
  </si>
  <si>
    <t>K^−1=</t>
  </si>
  <si>
    <t>PLAIN TEXT</t>
  </si>
  <si>
    <t>R</t>
  </si>
  <si>
    <t>W</t>
  </si>
  <si>
    <t>A</t>
  </si>
  <si>
    <t>N</t>
  </si>
  <si>
    <t>D</t>
  </si>
  <si>
    <t>I</t>
  </si>
  <si>
    <t>S</t>
  </si>
  <si>
    <t>F</t>
  </si>
  <si>
    <t>U</t>
  </si>
  <si>
    <t>L</t>
  </si>
  <si>
    <t>.</t>
  </si>
  <si>
    <t>BRANCHES</t>
  </si>
  <si>
    <t>M1</t>
  </si>
  <si>
    <t>M2</t>
  </si>
  <si>
    <t>M3</t>
  </si>
  <si>
    <t>M4</t>
  </si>
  <si>
    <t>M5</t>
  </si>
  <si>
    <t>ENCRYPTION</t>
  </si>
  <si>
    <t>M1 - ENCRYPTION</t>
  </si>
  <si>
    <t>M1=</t>
  </si>
  <si>
    <t>=</t>
  </si>
  <si>
    <t>E1=</t>
  </si>
  <si>
    <t>E1:</t>
  </si>
  <si>
    <t>NAK</t>
  </si>
  <si>
    <t>v</t>
  </si>
  <si>
    <t>,</t>
  </si>
  <si>
    <t>q</t>
  </si>
  <si>
    <t>M2 - ENCRYPTION</t>
  </si>
  <si>
    <t>M2=</t>
  </si>
  <si>
    <t>E2=</t>
  </si>
  <si>
    <t>E2:</t>
  </si>
  <si>
    <t>o</t>
  </si>
  <si>
    <t>p</t>
  </si>
  <si>
    <t>?</t>
  </si>
  <si>
    <t>FF</t>
  </si>
  <si>
    <t>M3 ENCRYPTION</t>
  </si>
  <si>
    <t>M3=</t>
  </si>
  <si>
    <t>E3=</t>
  </si>
  <si>
    <t>E3:</t>
  </si>
  <si>
    <t>RS</t>
  </si>
  <si>
    <t>k</t>
  </si>
  <si>
    <t>M4 ENCRYPTION</t>
  </si>
  <si>
    <t>M4=</t>
  </si>
  <si>
    <t>E4=</t>
  </si>
  <si>
    <t>E4:</t>
  </si>
  <si>
    <t>M5 ENCRYPTION</t>
  </si>
  <si>
    <t>M5=</t>
  </si>
  <si>
    <t>E5=</t>
  </si>
  <si>
    <t>E5:</t>
  </si>
  <si>
    <t>SI</t>
  </si>
  <si>
    <t>r</t>
  </si>
  <si>
    <t>:</t>
  </si>
  <si>
    <t>T</t>
  </si>
  <si>
    <t>ENCRYPTED TEXT:</t>
  </si>
  <si>
    <t>DECRYPTION</t>
  </si>
  <si>
    <t>M1 - DECRYPTION</t>
  </si>
  <si>
    <t>C1=</t>
  </si>
  <si>
    <t>D1=</t>
  </si>
  <si>
    <t>D1:</t>
  </si>
  <si>
    <t>M2 - DECRYPTION</t>
  </si>
  <si>
    <t>C2=</t>
  </si>
  <si>
    <t>D2=</t>
  </si>
  <si>
    <t>D2:</t>
  </si>
  <si>
    <t>M3 - DECRYPTION</t>
  </si>
  <si>
    <t>C3=</t>
  </si>
  <si>
    <t>D3=</t>
  </si>
  <si>
    <t>D3:</t>
  </si>
  <si>
    <t>M4 - DECRYPTION</t>
  </si>
  <si>
    <t>C4=</t>
  </si>
  <si>
    <t>D4=</t>
  </si>
  <si>
    <t>D4:</t>
  </si>
  <si>
    <t>M5 - DECRYPTION</t>
  </si>
  <si>
    <t>C5=</t>
  </si>
  <si>
    <t>D5=</t>
  </si>
  <si>
    <t>D5:</t>
  </si>
  <si>
    <t>DECRYPTED TEXT: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</si>
</sst>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b/>
      <sz val="11"/>
      <color theme="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theme="5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rgb="FF00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14" applyNumberFormat="0" applyAlignment="0" applyProtection="0">
      <alignment vertical="center"/>
    </xf>
    <xf numFmtId="0" fontId="16" fillId="10" borderId="15" applyNumberFormat="0" applyAlignment="0" applyProtection="0">
      <alignment vertical="center"/>
    </xf>
    <xf numFmtId="0" fontId="17" fillId="10" borderId="14" applyNumberFormat="0" applyAlignment="0" applyProtection="0">
      <alignment vertical="center"/>
    </xf>
    <xf numFmtId="0" fontId="18" fillId="11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29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0" fillId="4" borderId="0" xfId="0" applyFill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Y1000"/>
  <sheetViews>
    <sheetView tabSelected="1" workbookViewId="0">
      <selection activeCell="P55" sqref="P55"/>
    </sheetView>
  </sheetViews>
  <sheetFormatPr defaultColWidth="14.4571428571429" defaultRowHeight="15" customHeight="1"/>
  <cols>
    <col min="1" max="15" width="9.08571428571429" customWidth="1"/>
    <col min="16" max="16" width="10" customWidth="1"/>
    <col min="17" max="26" width="9.08571428571429" customWidth="1"/>
  </cols>
  <sheetData>
    <row r="1" ht="14.25" customHeight="1" spans="8:15">
      <c r="H1" s="1" t="s">
        <v>0</v>
      </c>
      <c r="I1" s="21"/>
      <c r="J1" s="21"/>
      <c r="K1" s="21"/>
      <c r="L1" s="21"/>
      <c r="M1" s="21"/>
      <c r="N1" s="21"/>
      <c r="O1" s="21"/>
    </row>
    <row r="2" ht="14.25" customHeight="1" spans="4:8">
      <c r="D2" s="2" t="s">
        <v>1</v>
      </c>
      <c r="E2" s="3"/>
      <c r="F2" s="3"/>
      <c r="G2" s="3"/>
      <c r="H2" s="4"/>
    </row>
    <row r="3" ht="14.25" customHeight="1" spans="4:24">
      <c r="D3" s="5" t="s">
        <v>2</v>
      </c>
      <c r="E3" s="6">
        <v>10</v>
      </c>
      <c r="F3" s="6">
        <v>9</v>
      </c>
      <c r="G3" s="7" t="s">
        <v>3</v>
      </c>
      <c r="H3" s="8">
        <v>128</v>
      </c>
      <c r="K3" s="15" t="s">
        <v>4</v>
      </c>
      <c r="L3" s="22">
        <f>E3*F4-E4*F3</f>
        <v>57</v>
      </c>
      <c r="O3" s="13" t="s">
        <v>5</v>
      </c>
      <c r="P3" s="4"/>
      <c r="U3" s="27" t="s">
        <v>6</v>
      </c>
      <c r="V3" s="20">
        <v>9</v>
      </c>
      <c r="W3" s="6">
        <v>12</v>
      </c>
      <c r="X3" s="6">
        <v>119</v>
      </c>
    </row>
    <row r="4" ht="14.25" customHeight="1" spans="4:24">
      <c r="D4" s="9"/>
      <c r="E4" s="6">
        <v>7</v>
      </c>
      <c r="F4" s="6">
        <v>12</v>
      </c>
      <c r="G4" s="10"/>
      <c r="H4" s="11"/>
      <c r="V4" s="9"/>
      <c r="W4" s="6">
        <v>121</v>
      </c>
      <c r="X4" s="6">
        <v>10</v>
      </c>
    </row>
    <row r="5" ht="14.25" customHeight="1"/>
    <row r="6" ht="14.25" customHeight="1" spans="4:25">
      <c r="D6" s="7" t="s">
        <v>7</v>
      </c>
      <c r="E6" s="8"/>
      <c r="F6" s="12" t="s">
        <v>8</v>
      </c>
      <c r="G6" s="12" t="s">
        <v>9</v>
      </c>
      <c r="H6" s="12" t="s">
        <v>10</v>
      </c>
      <c r="I6" s="12" t="s">
        <v>11</v>
      </c>
      <c r="J6" s="12" t="s">
        <v>12</v>
      </c>
      <c r="K6" s="12" t="s">
        <v>10</v>
      </c>
      <c r="L6" s="12"/>
      <c r="M6" s="12" t="s">
        <v>13</v>
      </c>
      <c r="N6" s="12" t="s">
        <v>14</v>
      </c>
      <c r="O6" s="12"/>
      <c r="P6" s="12" t="s">
        <v>8</v>
      </c>
      <c r="Q6" s="12" t="s">
        <v>9</v>
      </c>
      <c r="R6" s="12" t="s">
        <v>10</v>
      </c>
      <c r="S6" s="12" t="s">
        <v>11</v>
      </c>
      <c r="T6" s="12" t="s">
        <v>12</v>
      </c>
      <c r="U6" s="12" t="s">
        <v>10</v>
      </c>
      <c r="V6" s="12" t="s">
        <v>15</v>
      </c>
      <c r="W6" s="12" t="s">
        <v>16</v>
      </c>
      <c r="X6" s="12" t="s">
        <v>17</v>
      </c>
      <c r="Y6" s="12" t="s">
        <v>18</v>
      </c>
    </row>
    <row r="7" ht="14.25" customHeight="1" spans="4:25">
      <c r="D7" s="10"/>
      <c r="E7" s="11"/>
      <c r="F7" s="12">
        <v>82</v>
      </c>
      <c r="G7" s="12">
        <v>87</v>
      </c>
      <c r="H7" s="12">
        <v>65</v>
      </c>
      <c r="I7" s="12">
        <v>78</v>
      </c>
      <c r="J7" s="12">
        <v>68</v>
      </c>
      <c r="K7" s="12">
        <v>65</v>
      </c>
      <c r="L7" s="12">
        <v>32</v>
      </c>
      <c r="M7" s="12">
        <v>73</v>
      </c>
      <c r="N7" s="12">
        <v>83</v>
      </c>
      <c r="O7" s="12">
        <v>32</v>
      </c>
      <c r="P7" s="12">
        <v>82</v>
      </c>
      <c r="Q7" s="12">
        <v>87</v>
      </c>
      <c r="R7" s="12">
        <v>65</v>
      </c>
      <c r="S7" s="12">
        <v>78</v>
      </c>
      <c r="T7" s="12">
        <v>68</v>
      </c>
      <c r="U7" s="12">
        <v>65</v>
      </c>
      <c r="V7" s="12">
        <v>70</v>
      </c>
      <c r="W7" s="12">
        <v>85</v>
      </c>
      <c r="X7" s="12">
        <v>76</v>
      </c>
      <c r="Y7" s="12">
        <v>46</v>
      </c>
    </row>
    <row r="8" ht="14.25" customHeight="1" spans="4:25">
      <c r="D8" s="13" t="s">
        <v>19</v>
      </c>
      <c r="E8" s="14"/>
      <c r="F8" s="15"/>
      <c r="G8" s="16" t="s">
        <v>20</v>
      </c>
      <c r="H8" s="16"/>
      <c r="I8" s="22"/>
      <c r="J8" s="15"/>
      <c r="K8" s="16" t="s">
        <v>21</v>
      </c>
      <c r="L8" s="16"/>
      <c r="M8" s="22"/>
      <c r="N8" s="15"/>
      <c r="O8" s="16" t="s">
        <v>22</v>
      </c>
      <c r="P8" s="16"/>
      <c r="Q8" s="22"/>
      <c r="R8" s="15"/>
      <c r="S8" s="16"/>
      <c r="T8" s="16" t="s">
        <v>23</v>
      </c>
      <c r="U8" s="22"/>
      <c r="V8" s="15"/>
      <c r="W8" s="16" t="s">
        <v>24</v>
      </c>
      <c r="X8" s="16"/>
      <c r="Y8" s="22"/>
    </row>
    <row r="9" ht="14.25" customHeight="1"/>
    <row r="10" ht="14.25" customHeight="1" spans="11:11">
      <c r="K10" s="23" t="s">
        <v>25</v>
      </c>
    </row>
    <row r="11" ht="14.25" customHeight="1"/>
    <row r="12" ht="14.25" customHeight="1" spans="11:11">
      <c r="K12" s="24" t="s">
        <v>26</v>
      </c>
    </row>
    <row r="13" ht="14.25" customHeight="1"/>
    <row r="14" ht="14.25" customHeight="1" spans="2:14">
      <c r="B14" s="17" t="s">
        <v>27</v>
      </c>
      <c r="C14" s="6" t="s">
        <v>8</v>
      </c>
      <c r="D14" s="6" t="s">
        <v>9</v>
      </c>
      <c r="E14" s="18" t="s">
        <v>28</v>
      </c>
      <c r="F14" s="6">
        <v>82</v>
      </c>
      <c r="G14" s="6">
        <v>87</v>
      </c>
      <c r="I14" s="17" t="s">
        <v>29</v>
      </c>
      <c r="J14" s="6">
        <v>82</v>
      </c>
      <c r="K14" s="6">
        <v>87</v>
      </c>
      <c r="M14" s="6">
        <v>10</v>
      </c>
      <c r="N14" s="6">
        <v>9</v>
      </c>
    </row>
    <row r="15" ht="14.25" customHeight="1" spans="3:14">
      <c r="C15" s="6" t="s">
        <v>10</v>
      </c>
      <c r="D15" s="6" t="s">
        <v>11</v>
      </c>
      <c r="F15" s="6">
        <v>65</v>
      </c>
      <c r="G15" s="6">
        <v>78</v>
      </c>
      <c r="J15" s="6">
        <v>65</v>
      </c>
      <c r="K15" s="6">
        <v>78</v>
      </c>
      <c r="M15" s="6">
        <v>7</v>
      </c>
      <c r="N15" s="6">
        <v>12</v>
      </c>
    </row>
    <row r="16" ht="14.25" customHeight="1"/>
    <row r="17" ht="14.25" customHeight="1" spans="9:17">
      <c r="I17" s="17" t="s">
        <v>29</v>
      </c>
      <c r="J17" s="6">
        <f>MOD(J14*M14+K14*M15,128)</f>
        <v>21</v>
      </c>
      <c r="K17" s="6">
        <f>MOD(J14*N14+K14*N15,128)</f>
        <v>118</v>
      </c>
      <c r="M17" s="17" t="s">
        <v>30</v>
      </c>
      <c r="N17" s="6">
        <v>21</v>
      </c>
      <c r="O17" s="6">
        <v>118</v>
      </c>
      <c r="P17" s="6">
        <v>44</v>
      </c>
      <c r="Q17" s="6">
        <v>113</v>
      </c>
    </row>
    <row r="18" ht="14.25" customHeight="1" spans="10:17">
      <c r="J18" s="6">
        <f>MOD(J15*M14+K15*M15,128)</f>
        <v>44</v>
      </c>
      <c r="K18" s="6">
        <f>MOD(J15*N14+K15*N15,128)</f>
        <v>113</v>
      </c>
      <c r="N18" s="6" t="s">
        <v>31</v>
      </c>
      <c r="O18" s="6" t="s">
        <v>32</v>
      </c>
      <c r="P18" s="6" t="s">
        <v>33</v>
      </c>
      <c r="Q18" s="6" t="s">
        <v>34</v>
      </c>
    </row>
    <row r="19" ht="14.25" customHeight="1"/>
    <row r="20" ht="14.25" customHeight="1" spans="11:11">
      <c r="K20" s="24" t="s">
        <v>35</v>
      </c>
    </row>
    <row r="21" ht="14.25" customHeight="1"/>
    <row r="22" ht="14.25" customHeight="1" spans="2:14">
      <c r="B22" s="17" t="s">
        <v>36</v>
      </c>
      <c r="C22" s="6" t="s">
        <v>12</v>
      </c>
      <c r="D22" s="6" t="s">
        <v>10</v>
      </c>
      <c r="E22" s="18" t="s">
        <v>28</v>
      </c>
      <c r="F22" s="6">
        <v>68</v>
      </c>
      <c r="G22" s="6">
        <v>65</v>
      </c>
      <c r="I22" s="17" t="s">
        <v>37</v>
      </c>
      <c r="J22" s="6">
        <v>68</v>
      </c>
      <c r="K22" s="6">
        <v>65</v>
      </c>
      <c r="M22" s="6">
        <v>10</v>
      </c>
      <c r="N22" s="6">
        <v>9</v>
      </c>
    </row>
    <row r="23" ht="14.25" customHeight="1" spans="3:14">
      <c r="C23" s="6"/>
      <c r="D23" s="6" t="s">
        <v>13</v>
      </c>
      <c r="F23" s="6">
        <v>32</v>
      </c>
      <c r="G23" s="6">
        <v>73</v>
      </c>
      <c r="J23" s="6">
        <v>32</v>
      </c>
      <c r="K23" s="6">
        <v>73</v>
      </c>
      <c r="M23" s="6">
        <v>7</v>
      </c>
      <c r="N23" s="6">
        <v>12</v>
      </c>
    </row>
    <row r="24" ht="14.25" customHeight="1"/>
    <row r="25" ht="14.25" customHeight="1" spans="9:17">
      <c r="I25" s="17" t="s">
        <v>37</v>
      </c>
      <c r="J25" s="6">
        <f>MOD(J22*M22+K22*M23,128)</f>
        <v>111</v>
      </c>
      <c r="K25" s="6">
        <f>MOD(J22*N22+K22*N23,128)</f>
        <v>112</v>
      </c>
      <c r="M25" s="17" t="s">
        <v>38</v>
      </c>
      <c r="N25" s="6">
        <v>111</v>
      </c>
      <c r="O25" s="6">
        <v>112</v>
      </c>
      <c r="P25" s="6">
        <v>63</v>
      </c>
      <c r="Q25" s="6">
        <v>12</v>
      </c>
    </row>
    <row r="26" ht="14.25" customHeight="1" spans="10:17">
      <c r="J26" s="6">
        <f>MOD(J23*M22+K23*M23,128)</f>
        <v>63</v>
      </c>
      <c r="K26" s="6">
        <f>MOD(J23*N22+K23*N23,128)</f>
        <v>12</v>
      </c>
      <c r="N26" s="6" t="s">
        <v>39</v>
      </c>
      <c r="O26" s="6" t="s">
        <v>40</v>
      </c>
      <c r="P26" s="6" t="s">
        <v>41</v>
      </c>
      <c r="Q26" s="6" t="s">
        <v>42</v>
      </c>
    </row>
    <row r="27" ht="14.25" customHeight="1"/>
    <row r="28" ht="14.25" customHeight="1" spans="11:11">
      <c r="K28" s="24" t="s">
        <v>43</v>
      </c>
    </row>
    <row r="29" ht="14.25" customHeight="1"/>
    <row r="30" ht="14.25" customHeight="1" spans="2:14">
      <c r="B30" s="17" t="s">
        <v>44</v>
      </c>
      <c r="C30" s="6" t="s">
        <v>14</v>
      </c>
      <c r="D30" s="6"/>
      <c r="E30" s="18" t="s">
        <v>28</v>
      </c>
      <c r="F30" s="6">
        <v>83</v>
      </c>
      <c r="G30" s="6">
        <v>32</v>
      </c>
      <c r="I30" s="17" t="s">
        <v>45</v>
      </c>
      <c r="J30" s="6">
        <v>83</v>
      </c>
      <c r="K30" s="6">
        <v>32</v>
      </c>
      <c r="M30" s="6">
        <v>10</v>
      </c>
      <c r="N30" s="6">
        <v>9</v>
      </c>
    </row>
    <row r="31" ht="14.25" customHeight="1" spans="3:14">
      <c r="C31" s="6" t="s">
        <v>8</v>
      </c>
      <c r="D31" s="6" t="s">
        <v>9</v>
      </c>
      <c r="F31" s="6">
        <v>82</v>
      </c>
      <c r="G31" s="6">
        <v>87</v>
      </c>
      <c r="J31" s="6">
        <v>82</v>
      </c>
      <c r="K31" s="6">
        <v>87</v>
      </c>
      <c r="M31" s="6">
        <v>7</v>
      </c>
      <c r="N31" s="6">
        <v>12</v>
      </c>
    </row>
    <row r="32" ht="14.25" customHeight="1"/>
    <row r="33" ht="14.25" customHeight="1" spans="9:17">
      <c r="I33" s="17" t="s">
        <v>45</v>
      </c>
      <c r="J33" s="6">
        <f>MOD(J30*M30+K30*M31,128)</f>
        <v>30</v>
      </c>
      <c r="K33" s="6">
        <f>MOD(J30*N30+K30*N31,128)</f>
        <v>107</v>
      </c>
      <c r="M33" s="17" t="s">
        <v>46</v>
      </c>
      <c r="N33" s="6">
        <v>30</v>
      </c>
      <c r="O33" s="6">
        <v>107</v>
      </c>
      <c r="P33" s="6">
        <v>21</v>
      </c>
      <c r="Q33" s="6">
        <v>118</v>
      </c>
    </row>
    <row r="34" ht="14.25" customHeight="1" spans="10:17">
      <c r="J34" s="6">
        <f>MOD(J31*M30+K31*M31,128)</f>
        <v>21</v>
      </c>
      <c r="K34" s="6">
        <f>MOD(J31*N30+K31*N31,128)</f>
        <v>118</v>
      </c>
      <c r="N34" s="6" t="s">
        <v>47</v>
      </c>
      <c r="O34" s="6" t="s">
        <v>48</v>
      </c>
      <c r="P34" s="6" t="s">
        <v>31</v>
      </c>
      <c r="Q34" s="6" t="s">
        <v>32</v>
      </c>
    </row>
    <row r="35" ht="14.25" customHeight="1"/>
    <row r="36" ht="14.25" customHeight="1" spans="11:11">
      <c r="K36" s="24" t="s">
        <v>49</v>
      </c>
    </row>
    <row r="37" ht="14.25" customHeight="1"/>
    <row r="38" ht="14.25" customHeight="1" spans="2:14">
      <c r="B38" s="17" t="s">
        <v>50</v>
      </c>
      <c r="C38" s="6" t="s">
        <v>10</v>
      </c>
      <c r="D38" s="6" t="s">
        <v>11</v>
      </c>
      <c r="E38" s="18" t="s">
        <v>28</v>
      </c>
      <c r="F38" s="6">
        <v>65</v>
      </c>
      <c r="G38" s="6">
        <v>78</v>
      </c>
      <c r="I38" s="17" t="s">
        <v>51</v>
      </c>
      <c r="J38" s="6">
        <v>65</v>
      </c>
      <c r="K38" s="6">
        <v>78</v>
      </c>
      <c r="M38" s="6">
        <v>10</v>
      </c>
      <c r="N38" s="6">
        <v>9</v>
      </c>
    </row>
    <row r="39" ht="14.25" customHeight="1" spans="3:14">
      <c r="C39" s="6" t="s">
        <v>12</v>
      </c>
      <c r="D39" s="6" t="s">
        <v>10</v>
      </c>
      <c r="F39" s="6">
        <v>68</v>
      </c>
      <c r="G39" s="6">
        <v>65</v>
      </c>
      <c r="J39" s="6">
        <v>68</v>
      </c>
      <c r="K39" s="6">
        <v>65</v>
      </c>
      <c r="M39" s="6">
        <v>7</v>
      </c>
      <c r="N39" s="6">
        <v>12</v>
      </c>
    </row>
    <row r="40" ht="14.25" customHeight="1"/>
    <row r="41" ht="14.25" customHeight="1" spans="9:17">
      <c r="I41" s="17" t="s">
        <v>51</v>
      </c>
      <c r="J41" s="6">
        <f>MOD(J38*M38+K38*M39,128)</f>
        <v>44</v>
      </c>
      <c r="K41" s="6">
        <f>MOD(J38*N38+K38*N39,128)</f>
        <v>113</v>
      </c>
      <c r="M41" s="17" t="s">
        <v>52</v>
      </c>
      <c r="N41" s="6">
        <v>44</v>
      </c>
      <c r="O41" s="6">
        <v>113</v>
      </c>
      <c r="P41" s="6">
        <v>111</v>
      </c>
      <c r="Q41" s="6">
        <v>112</v>
      </c>
    </row>
    <row r="42" ht="14.25" customHeight="1" spans="10:17">
      <c r="J42" s="6">
        <f>MOD(J39*M38+K39*M39,128)</f>
        <v>111</v>
      </c>
      <c r="K42" s="6">
        <f>MOD(J39*N38+K39*N39,128)</f>
        <v>112</v>
      </c>
      <c r="N42" s="6" t="s">
        <v>33</v>
      </c>
      <c r="O42" s="6" t="s">
        <v>34</v>
      </c>
      <c r="P42" s="6" t="s">
        <v>39</v>
      </c>
      <c r="Q42" s="6" t="s">
        <v>40</v>
      </c>
    </row>
    <row r="43" ht="14.25" customHeight="1"/>
    <row r="44" ht="14.25" customHeight="1" spans="11:13">
      <c r="K44" s="24" t="s">
        <v>53</v>
      </c>
      <c r="L44" s="25"/>
      <c r="M44" s="25"/>
    </row>
    <row r="45" ht="14.25" customHeight="1"/>
    <row r="46" ht="14.25" customHeight="1" spans="2:14">
      <c r="B46" s="17" t="s">
        <v>54</v>
      </c>
      <c r="C46" s="6" t="s">
        <v>15</v>
      </c>
      <c r="D46" s="6" t="s">
        <v>16</v>
      </c>
      <c r="E46" s="18" t="s">
        <v>28</v>
      </c>
      <c r="F46" s="6">
        <v>70</v>
      </c>
      <c r="G46" s="6">
        <v>85</v>
      </c>
      <c r="I46" s="17" t="s">
        <v>55</v>
      </c>
      <c r="J46" s="6">
        <v>70</v>
      </c>
      <c r="K46" s="6">
        <v>85</v>
      </c>
      <c r="M46" s="6">
        <v>10</v>
      </c>
      <c r="N46" s="6">
        <v>9</v>
      </c>
    </row>
    <row r="47" ht="14.25" customHeight="1" spans="3:14">
      <c r="C47" s="6" t="s">
        <v>17</v>
      </c>
      <c r="D47" s="6" t="s">
        <v>18</v>
      </c>
      <c r="F47" s="6">
        <v>76</v>
      </c>
      <c r="G47" s="6">
        <v>46</v>
      </c>
      <c r="J47" s="6">
        <v>76</v>
      </c>
      <c r="K47" s="6">
        <v>46</v>
      </c>
      <c r="M47" s="6">
        <v>7</v>
      </c>
      <c r="N47" s="6">
        <v>12</v>
      </c>
    </row>
    <row r="48" ht="14.25" customHeight="1"/>
    <row r="49" ht="14.25" customHeight="1" spans="9:17">
      <c r="I49" s="17" t="s">
        <v>55</v>
      </c>
      <c r="J49" s="6">
        <f>MOD(J46*M46+K46*M47,128)</f>
        <v>15</v>
      </c>
      <c r="K49" s="6">
        <f>MOD(J46*N46+K46*N47,128)</f>
        <v>114</v>
      </c>
      <c r="M49" s="17" t="s">
        <v>56</v>
      </c>
      <c r="N49" s="6">
        <v>15</v>
      </c>
      <c r="O49" s="6">
        <v>114</v>
      </c>
      <c r="P49" s="6">
        <v>58</v>
      </c>
      <c r="Q49" s="6">
        <v>84</v>
      </c>
    </row>
    <row r="50" ht="14.25" customHeight="1" spans="10:17">
      <c r="J50" s="6">
        <f>MOD(J47*M46+K47*M47,128)</f>
        <v>58</v>
      </c>
      <c r="K50" s="6">
        <f>MOD(J47*N46+K47*N47,128)</f>
        <v>84</v>
      </c>
      <c r="N50" s="6" t="s">
        <v>57</v>
      </c>
      <c r="O50" s="6" t="s">
        <v>58</v>
      </c>
      <c r="P50" s="6" t="s">
        <v>59</v>
      </c>
      <c r="Q50" s="6" t="s">
        <v>60</v>
      </c>
    </row>
    <row r="51" ht="14.25" customHeight="1"/>
    <row r="52" ht="14.25" customHeight="1" spans="2:23">
      <c r="B52" s="19" t="s">
        <v>61</v>
      </c>
      <c r="C52" s="4"/>
      <c r="D52" s="16" t="s">
        <v>31</v>
      </c>
      <c r="E52" s="16" t="s">
        <v>32</v>
      </c>
      <c r="F52" s="16" t="s">
        <v>33</v>
      </c>
      <c r="G52" s="16" t="s">
        <v>34</v>
      </c>
      <c r="H52" s="16" t="s">
        <v>39</v>
      </c>
      <c r="I52" s="16" t="s">
        <v>40</v>
      </c>
      <c r="J52" s="16" t="s">
        <v>41</v>
      </c>
      <c r="K52" s="16" t="s">
        <v>42</v>
      </c>
      <c r="L52" s="16" t="s">
        <v>47</v>
      </c>
      <c r="M52" s="16" t="s">
        <v>48</v>
      </c>
      <c r="N52" s="16" t="s">
        <v>31</v>
      </c>
      <c r="O52" s="16" t="s">
        <v>32</v>
      </c>
      <c r="P52" s="16" t="s">
        <v>33</v>
      </c>
      <c r="Q52" s="16" t="s">
        <v>34</v>
      </c>
      <c r="R52" s="16" t="s">
        <v>39</v>
      </c>
      <c r="S52" s="16" t="s">
        <v>40</v>
      </c>
      <c r="T52" s="16" t="s">
        <v>57</v>
      </c>
      <c r="U52" s="16" t="s">
        <v>58</v>
      </c>
      <c r="V52" s="16" t="s">
        <v>59</v>
      </c>
      <c r="W52" s="22" t="s">
        <v>60</v>
      </c>
    </row>
    <row r="53" ht="14.25" customHeight="1"/>
    <row r="54" ht="14.25" customHeight="1" spans="11:11">
      <c r="K54" s="23" t="s">
        <v>62</v>
      </c>
    </row>
    <row r="55" ht="14.25" customHeight="1"/>
    <row r="56" ht="14.25" customHeight="1" spans="11:13">
      <c r="K56" s="26" t="s">
        <v>63</v>
      </c>
      <c r="L56" s="25"/>
      <c r="M56" s="25"/>
    </row>
    <row r="57" ht="14.25" customHeight="1"/>
    <row r="58" ht="14.25" customHeight="1" spans="2:12">
      <c r="B58" s="17" t="s">
        <v>64</v>
      </c>
      <c r="C58" s="6" t="s">
        <v>31</v>
      </c>
      <c r="D58" s="6" t="s">
        <v>32</v>
      </c>
      <c r="F58" s="6">
        <v>21</v>
      </c>
      <c r="G58" s="6">
        <v>118</v>
      </c>
      <c r="I58" s="17" t="s">
        <v>6</v>
      </c>
      <c r="J58" s="20">
        <v>9</v>
      </c>
      <c r="K58" s="6">
        <v>12</v>
      </c>
      <c r="L58" s="6">
        <v>119</v>
      </c>
    </row>
    <row r="59" ht="14.25" customHeight="1" spans="3:12">
      <c r="C59" s="6" t="s">
        <v>33</v>
      </c>
      <c r="D59" s="6" t="s">
        <v>34</v>
      </c>
      <c r="F59" s="6">
        <v>44</v>
      </c>
      <c r="G59" s="6">
        <v>113</v>
      </c>
      <c r="J59" s="9"/>
      <c r="K59" s="6">
        <v>121</v>
      </c>
      <c r="L59" s="6">
        <v>11</v>
      </c>
    </row>
    <row r="60" ht="14.25" customHeight="1"/>
    <row r="61" ht="14.25" customHeight="1" spans="2:12">
      <c r="B61" s="17" t="s">
        <v>65</v>
      </c>
      <c r="C61" s="6">
        <v>21</v>
      </c>
      <c r="D61" s="6">
        <v>118</v>
      </c>
      <c r="F61" s="20">
        <v>9</v>
      </c>
      <c r="G61" s="6">
        <v>12</v>
      </c>
      <c r="H61" s="6">
        <v>119</v>
      </c>
      <c r="J61" s="17" t="s">
        <v>65</v>
      </c>
      <c r="K61" s="6">
        <f>MOD(9*(C61*G61+D61*G62),128)</f>
        <v>82</v>
      </c>
      <c r="L61" s="6">
        <f>MOD(9*(C61*H61+D61*H62),128)</f>
        <v>87</v>
      </c>
    </row>
    <row r="62" ht="14.25" customHeight="1" spans="3:12">
      <c r="C62" s="6">
        <v>44</v>
      </c>
      <c r="D62" s="6">
        <v>113</v>
      </c>
      <c r="F62" s="9"/>
      <c r="G62" s="6">
        <v>121</v>
      </c>
      <c r="H62" s="6">
        <v>10</v>
      </c>
      <c r="K62" s="6">
        <f>MOD(9*(C62*G61+D62*G62),128)</f>
        <v>65</v>
      </c>
      <c r="L62" s="6">
        <f>MOD(9*(C62*H61+D62*H62),128)</f>
        <v>78</v>
      </c>
    </row>
    <row r="63" ht="14.25" customHeight="1"/>
    <row r="64" ht="14.25" customHeight="1" spans="10:14">
      <c r="J64" s="17" t="s">
        <v>66</v>
      </c>
      <c r="K64" s="6">
        <v>82</v>
      </c>
      <c r="L64" s="6">
        <v>87</v>
      </c>
      <c r="M64" s="6">
        <v>65</v>
      </c>
      <c r="N64" s="6">
        <v>78</v>
      </c>
    </row>
    <row r="65" ht="14.25" customHeight="1" spans="11:14">
      <c r="K65" s="12" t="s">
        <v>8</v>
      </c>
      <c r="L65" s="12" t="s">
        <v>9</v>
      </c>
      <c r="M65" s="12" t="s">
        <v>10</v>
      </c>
      <c r="N65" s="12" t="s">
        <v>11</v>
      </c>
    </row>
    <row r="66" ht="14.25" customHeight="1"/>
    <row r="67" ht="14.25" customHeight="1" spans="11:11">
      <c r="K67" s="24" t="s">
        <v>67</v>
      </c>
    </row>
    <row r="68" ht="14.25" customHeight="1"/>
    <row r="69" ht="14.25" customHeight="1" spans="2:12">
      <c r="B69" s="17" t="s">
        <v>68</v>
      </c>
      <c r="C69" s="6" t="s">
        <v>39</v>
      </c>
      <c r="D69" s="6" t="s">
        <v>40</v>
      </c>
      <c r="F69" s="6">
        <v>111</v>
      </c>
      <c r="G69" s="6">
        <v>112</v>
      </c>
      <c r="I69" s="17" t="s">
        <v>6</v>
      </c>
      <c r="J69" s="20">
        <v>9</v>
      </c>
      <c r="K69" s="6">
        <v>12</v>
      </c>
      <c r="L69" s="6">
        <v>119</v>
      </c>
    </row>
    <row r="70" ht="14.25" customHeight="1" spans="3:12">
      <c r="C70" s="6" t="s">
        <v>41</v>
      </c>
      <c r="D70" s="6" t="s">
        <v>42</v>
      </c>
      <c r="F70" s="6">
        <v>63</v>
      </c>
      <c r="G70" s="6">
        <v>12</v>
      </c>
      <c r="J70" s="9"/>
      <c r="K70" s="6">
        <v>121</v>
      </c>
      <c r="L70" s="6">
        <v>10</v>
      </c>
    </row>
    <row r="71" ht="14.25" customHeight="1"/>
    <row r="72" ht="14.25" customHeight="1" spans="2:12">
      <c r="B72" s="17" t="s">
        <v>69</v>
      </c>
      <c r="C72" s="6">
        <v>111</v>
      </c>
      <c r="D72" s="6">
        <v>112</v>
      </c>
      <c r="F72" s="20">
        <v>9</v>
      </c>
      <c r="G72" s="6">
        <v>12</v>
      </c>
      <c r="H72" s="6">
        <v>119</v>
      </c>
      <c r="J72" s="17" t="s">
        <v>69</v>
      </c>
      <c r="K72" s="6">
        <f>MOD(9*(C72*G72+D72*G73),128)</f>
        <v>68</v>
      </c>
      <c r="L72" s="6">
        <f>MOD(9*(C72*H72+D72*H73),128)</f>
        <v>65</v>
      </c>
    </row>
    <row r="73" ht="14.25" customHeight="1" spans="3:12">
      <c r="C73" s="6">
        <v>63</v>
      </c>
      <c r="D73" s="6">
        <v>12</v>
      </c>
      <c r="F73" s="9"/>
      <c r="G73" s="6">
        <v>121</v>
      </c>
      <c r="H73" s="6">
        <v>10</v>
      </c>
      <c r="K73" s="6">
        <f>MOD(9*(C73*G72+D73*G73),128)</f>
        <v>32</v>
      </c>
      <c r="L73" s="6">
        <f>MOD(9*(C73*H72+D73*H73),128)</f>
        <v>73</v>
      </c>
    </row>
    <row r="74" ht="14.25" customHeight="1"/>
    <row r="75" ht="14.25" customHeight="1" spans="10:14">
      <c r="J75" s="17" t="s">
        <v>70</v>
      </c>
      <c r="K75" s="6">
        <v>68</v>
      </c>
      <c r="L75" s="6">
        <v>65</v>
      </c>
      <c r="M75" s="6">
        <v>32</v>
      </c>
      <c r="N75" s="6">
        <v>73</v>
      </c>
    </row>
    <row r="76" ht="14.25" customHeight="1" spans="11:14">
      <c r="K76" s="12" t="s">
        <v>12</v>
      </c>
      <c r="L76" s="12" t="s">
        <v>10</v>
      </c>
      <c r="M76" s="12"/>
      <c r="N76" s="12" t="s">
        <v>13</v>
      </c>
    </row>
    <row r="77" ht="14.25" customHeight="1"/>
    <row r="78" ht="14.25" customHeight="1" spans="11:11">
      <c r="K78" s="24" t="s">
        <v>71</v>
      </c>
    </row>
    <row r="79" ht="14.25" customHeight="1"/>
    <row r="80" ht="14.25" customHeight="1" spans="2:12">
      <c r="B80" s="17" t="s">
        <v>72</v>
      </c>
      <c r="C80" s="6" t="s">
        <v>47</v>
      </c>
      <c r="D80" s="6" t="s">
        <v>48</v>
      </c>
      <c r="F80" s="6">
        <v>30</v>
      </c>
      <c r="G80" s="6">
        <v>107</v>
      </c>
      <c r="I80" s="17" t="s">
        <v>6</v>
      </c>
      <c r="J80" s="20">
        <v>9</v>
      </c>
      <c r="K80" s="6">
        <v>12</v>
      </c>
      <c r="L80" s="6">
        <v>119</v>
      </c>
    </row>
    <row r="81" ht="14.25" customHeight="1" spans="3:12">
      <c r="C81" s="6" t="s">
        <v>31</v>
      </c>
      <c r="D81" s="6" t="s">
        <v>32</v>
      </c>
      <c r="F81" s="6">
        <v>21</v>
      </c>
      <c r="G81" s="6">
        <v>118</v>
      </c>
      <c r="J81" s="9"/>
      <c r="K81" s="6">
        <v>121</v>
      </c>
      <c r="L81" s="6">
        <v>10</v>
      </c>
    </row>
    <row r="82" ht="14.25" customHeight="1"/>
    <row r="83" ht="14.25" customHeight="1" spans="2:12">
      <c r="B83" s="17" t="s">
        <v>73</v>
      </c>
      <c r="C83" s="6">
        <v>30</v>
      </c>
      <c r="D83" s="6">
        <v>107</v>
      </c>
      <c r="F83" s="20">
        <v>9</v>
      </c>
      <c r="G83" s="6">
        <v>12</v>
      </c>
      <c r="H83" s="6">
        <v>119</v>
      </c>
      <c r="J83" s="17" t="s">
        <v>73</v>
      </c>
      <c r="K83" s="6">
        <f>MOD(9*(C83*G83+D83*G84),128)</f>
        <v>83</v>
      </c>
      <c r="L83" s="6">
        <f>MOD(9*(C83*H83+D83*H84),128)</f>
        <v>32</v>
      </c>
    </row>
    <row r="84" ht="14.25" customHeight="1" spans="3:12">
      <c r="C84" s="6">
        <v>21</v>
      </c>
      <c r="D84" s="6">
        <v>118</v>
      </c>
      <c r="F84" s="9"/>
      <c r="G84" s="6">
        <v>121</v>
      </c>
      <c r="H84" s="6">
        <v>10</v>
      </c>
      <c r="K84" s="6">
        <f>MOD(9*(C84*G83+D84*G84),128)</f>
        <v>82</v>
      </c>
      <c r="L84" s="6">
        <f>MOD(9*(C84*H83+D84*H84),128)</f>
        <v>87</v>
      </c>
    </row>
    <row r="85" ht="14.25" customHeight="1"/>
    <row r="86" ht="14.25" customHeight="1" spans="10:14">
      <c r="J86" s="17" t="s">
        <v>74</v>
      </c>
      <c r="K86" s="6">
        <v>83</v>
      </c>
      <c r="L86" s="6">
        <v>32</v>
      </c>
      <c r="M86" s="6">
        <v>82</v>
      </c>
      <c r="N86" s="6">
        <v>87</v>
      </c>
    </row>
    <row r="87" ht="14.25" customHeight="1" spans="11:14">
      <c r="K87" s="12" t="s">
        <v>14</v>
      </c>
      <c r="L87" s="12"/>
      <c r="M87" s="12" t="s">
        <v>8</v>
      </c>
      <c r="N87" s="12" t="s">
        <v>9</v>
      </c>
    </row>
    <row r="88" ht="14.25" customHeight="1"/>
    <row r="89" ht="14.25" customHeight="1" spans="11:11">
      <c r="K89" s="24" t="s">
        <v>75</v>
      </c>
    </row>
    <row r="90" ht="14.25" customHeight="1"/>
    <row r="91" ht="14.25" customHeight="1" spans="2:12">
      <c r="B91" s="17" t="s">
        <v>76</v>
      </c>
      <c r="C91" s="6" t="s">
        <v>33</v>
      </c>
      <c r="D91" s="6" t="s">
        <v>34</v>
      </c>
      <c r="F91" s="6">
        <v>44</v>
      </c>
      <c r="G91" s="6">
        <v>113</v>
      </c>
      <c r="I91" s="17" t="s">
        <v>6</v>
      </c>
      <c r="J91" s="20">
        <v>9</v>
      </c>
      <c r="K91" s="6">
        <v>12</v>
      </c>
      <c r="L91" s="6">
        <v>119</v>
      </c>
    </row>
    <row r="92" ht="14.25" customHeight="1" spans="3:12">
      <c r="C92" s="6" t="s">
        <v>39</v>
      </c>
      <c r="D92" s="6" t="s">
        <v>40</v>
      </c>
      <c r="F92" s="6">
        <v>111</v>
      </c>
      <c r="G92" s="6">
        <v>112</v>
      </c>
      <c r="J92" s="9"/>
      <c r="K92" s="6">
        <v>121</v>
      </c>
      <c r="L92" s="6">
        <v>10</v>
      </c>
    </row>
    <row r="93" ht="14.25" customHeight="1"/>
    <row r="94" ht="14.25" customHeight="1" spans="2:12">
      <c r="B94" s="17" t="s">
        <v>77</v>
      </c>
      <c r="C94" s="6">
        <v>44</v>
      </c>
      <c r="D94" s="6">
        <v>113</v>
      </c>
      <c r="F94" s="20">
        <v>9</v>
      </c>
      <c r="G94" s="6">
        <v>12</v>
      </c>
      <c r="H94" s="6">
        <v>119</v>
      </c>
      <c r="J94" s="17" t="s">
        <v>77</v>
      </c>
      <c r="K94" s="6">
        <f>MOD(9*(C94*G94+D94*G95),128)</f>
        <v>65</v>
      </c>
      <c r="L94" s="6">
        <f>MOD(9*(C94*H94+D94*H95),128)</f>
        <v>78</v>
      </c>
    </row>
    <row r="95" ht="14.25" customHeight="1" spans="3:12">
      <c r="C95" s="6">
        <v>111</v>
      </c>
      <c r="D95" s="6">
        <v>112</v>
      </c>
      <c r="F95" s="9"/>
      <c r="G95" s="6">
        <v>121</v>
      </c>
      <c r="H95" s="6">
        <v>10</v>
      </c>
      <c r="K95" s="6">
        <f>MOD(9*(C95*G94+D95*G95),128)</f>
        <v>68</v>
      </c>
      <c r="L95" s="6">
        <f>MOD(9*(C95*H94+D95*H95),128)</f>
        <v>65</v>
      </c>
    </row>
    <row r="96" ht="14.25" customHeight="1"/>
    <row r="97" ht="14.25" customHeight="1" spans="10:14">
      <c r="J97" s="17" t="s">
        <v>78</v>
      </c>
      <c r="K97" s="6">
        <v>65</v>
      </c>
      <c r="L97" s="6">
        <v>78</v>
      </c>
      <c r="M97" s="6">
        <v>68</v>
      </c>
      <c r="N97" s="6">
        <v>65</v>
      </c>
    </row>
    <row r="98" ht="14.25" customHeight="1" spans="11:14">
      <c r="K98" s="12" t="s">
        <v>10</v>
      </c>
      <c r="L98" s="12" t="s">
        <v>11</v>
      </c>
      <c r="M98" s="12" t="s">
        <v>12</v>
      </c>
      <c r="N98" s="12" t="s">
        <v>10</v>
      </c>
    </row>
    <row r="99" ht="14.25" customHeight="1"/>
    <row r="100" ht="14.25" customHeight="1" spans="11:11">
      <c r="K100" s="24" t="s">
        <v>79</v>
      </c>
    </row>
    <row r="101" ht="14.25" customHeight="1"/>
    <row r="102" ht="14.25" customHeight="1" spans="2:12">
      <c r="B102" s="17" t="s">
        <v>80</v>
      </c>
      <c r="C102" s="6" t="s">
        <v>57</v>
      </c>
      <c r="D102" s="6" t="s">
        <v>58</v>
      </c>
      <c r="F102" s="6">
        <v>15</v>
      </c>
      <c r="G102" s="6">
        <v>114</v>
      </c>
      <c r="I102" s="17" t="s">
        <v>6</v>
      </c>
      <c r="J102" s="20">
        <v>9</v>
      </c>
      <c r="K102" s="6">
        <v>12</v>
      </c>
      <c r="L102" s="6">
        <v>119</v>
      </c>
    </row>
    <row r="103" ht="14.25" customHeight="1" spans="3:12">
      <c r="C103" s="6" t="s">
        <v>59</v>
      </c>
      <c r="D103" s="6" t="s">
        <v>60</v>
      </c>
      <c r="F103" s="6">
        <v>58</v>
      </c>
      <c r="G103" s="6">
        <v>84</v>
      </c>
      <c r="J103" s="9"/>
      <c r="K103" s="6">
        <v>121</v>
      </c>
      <c r="L103" s="6">
        <v>10</v>
      </c>
    </row>
    <row r="104" ht="14.25" customHeight="1" spans="14:14">
      <c r="N104" s="28"/>
    </row>
    <row r="105" ht="14.25" customHeight="1" spans="2:12">
      <c r="B105" s="17" t="s">
        <v>81</v>
      </c>
      <c r="C105" s="6">
        <v>15</v>
      </c>
      <c r="D105" s="6">
        <v>114</v>
      </c>
      <c r="F105" s="20">
        <v>9</v>
      </c>
      <c r="G105" s="6">
        <v>12</v>
      </c>
      <c r="H105" s="6">
        <v>119</v>
      </c>
      <c r="J105" s="17" t="s">
        <v>81</v>
      </c>
      <c r="K105" s="6">
        <f>MOD(9*(C105*G105+D105*G106),128)</f>
        <v>70</v>
      </c>
      <c r="L105" s="6">
        <f>MOD(9*(C105*H105+D105*H106),128)</f>
        <v>85</v>
      </c>
    </row>
    <row r="106" ht="14.25" customHeight="1" spans="3:12">
      <c r="C106" s="6">
        <v>58</v>
      </c>
      <c r="D106" s="6">
        <v>84</v>
      </c>
      <c r="F106" s="9"/>
      <c r="G106" s="6">
        <v>121</v>
      </c>
      <c r="H106" s="6">
        <v>10</v>
      </c>
      <c r="K106" s="6">
        <f>MOD(9*(C106*G105+D106*G106),128)</f>
        <v>76</v>
      </c>
      <c r="L106" s="6">
        <f>MOD(9*(C106*H105+D106*H106),128)</f>
        <v>46</v>
      </c>
    </row>
    <row r="107" ht="14.25" customHeight="1"/>
    <row r="108" ht="14.25" customHeight="1" spans="10:14">
      <c r="J108" s="17" t="s">
        <v>82</v>
      </c>
      <c r="K108" s="6">
        <v>70</v>
      </c>
      <c r="L108" s="6">
        <v>85</v>
      </c>
      <c r="M108" s="6">
        <v>70</v>
      </c>
      <c r="N108" s="6">
        <v>46</v>
      </c>
    </row>
    <row r="109" ht="14.25" customHeight="1" spans="11:14">
      <c r="K109" s="12" t="s">
        <v>15</v>
      </c>
      <c r="L109" s="12" t="s">
        <v>16</v>
      </c>
      <c r="M109" s="12" t="s">
        <v>17</v>
      </c>
      <c r="N109" s="12" t="s">
        <v>18</v>
      </c>
    </row>
    <row r="110" ht="14.25" customHeight="1"/>
    <row r="111" ht="14.25" customHeight="1" spans="2:23">
      <c r="B111" s="19" t="s">
        <v>83</v>
      </c>
      <c r="C111" s="4"/>
      <c r="D111" s="16" t="s">
        <v>8</v>
      </c>
      <c r="E111" s="16" t="s">
        <v>9</v>
      </c>
      <c r="F111" s="16" t="s">
        <v>10</v>
      </c>
      <c r="G111" s="16" t="s">
        <v>11</v>
      </c>
      <c r="H111" s="16" t="s">
        <v>12</v>
      </c>
      <c r="I111" s="16" t="s">
        <v>10</v>
      </c>
      <c r="J111" s="16"/>
      <c r="K111" s="16" t="s">
        <v>13</v>
      </c>
      <c r="L111" s="16" t="s">
        <v>14</v>
      </c>
      <c r="M111" s="16"/>
      <c r="N111" s="16" t="s">
        <v>8</v>
      </c>
      <c r="O111" s="16" t="s">
        <v>9</v>
      </c>
      <c r="P111" s="16" t="s">
        <v>10</v>
      </c>
      <c r="Q111" s="16" t="s">
        <v>11</v>
      </c>
      <c r="R111" s="16" t="s">
        <v>12</v>
      </c>
      <c r="S111" s="16" t="s">
        <v>10</v>
      </c>
      <c r="T111" s="16" t="s">
        <v>15</v>
      </c>
      <c r="U111" s="16" t="s">
        <v>16</v>
      </c>
      <c r="V111" s="16" t="s">
        <v>17</v>
      </c>
      <c r="W111" s="22" t="s">
        <v>18</v>
      </c>
    </row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H1:O1"/>
    <mergeCell ref="D2:H2"/>
    <mergeCell ref="O3:P3"/>
    <mergeCell ref="K10:M10"/>
    <mergeCell ref="K12:M12"/>
    <mergeCell ref="K20:M20"/>
    <mergeCell ref="K28:M28"/>
    <mergeCell ref="K36:M36"/>
    <mergeCell ref="K44:M44"/>
    <mergeCell ref="B52:C52"/>
    <mergeCell ref="K54:M54"/>
    <mergeCell ref="K56:M56"/>
    <mergeCell ref="K67:M67"/>
    <mergeCell ref="K78:M78"/>
    <mergeCell ref="K89:M89"/>
    <mergeCell ref="K100:M100"/>
    <mergeCell ref="B111:C111"/>
  </mergeCell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Question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Niyibizi Elysée</cp:lastModifiedBy>
  <dcterms:created xsi:type="dcterms:W3CDTF">2025-12-06T13:52:14Z</dcterms:created>
  <dcterms:modified xsi:type="dcterms:W3CDTF">2025-12-06T13:53:54Z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385BC3AA855E463192E6900864598B6E_12</vt:lpwstr>
  </property>
  <property fmtid="{D5CDD505-2E9C-101B-9397-08002B2CF9AE}" pid="3" name="KSOProductBuildVer">
    <vt:lpwstr>2057-12.2.0.23158</vt:lpwstr>
  </property>
</Properties>
</file>